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bookViews>
    <workbookView xWindow="0" yWindow="660" windowWidth="34560" windowHeight="21680" tabRatio="500" xr2:uid="{00000000-000D-0000-FFFF-FFFF00000000}"/>
  </bookViews>
  <sheets>
    <sheet name="ARI Worksheet" sheetId="1" r:id="rId1"/>
    <sheet name="Example" sheetId="2" r:id="rId2"/>
  </sheets>
  <definedNames>
    <definedName name="_xlnm.Print_Area" localSheetId="0">'ARI Worksheet'!$A$1:$J$36</definedName>
    <definedName name="_xlnm.Print_Area" localSheetId="1">Example!$A$1:$J$36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2" l="1"/>
  <c r="I22" i="2"/>
  <c r="H22" i="2"/>
  <c r="G22" i="2"/>
  <c r="F22" i="2"/>
  <c r="I20" i="2"/>
  <c r="H20" i="2"/>
  <c r="G20" i="2"/>
  <c r="F20" i="2"/>
  <c r="I19" i="2"/>
  <c r="I21" i="2" s="1"/>
  <c r="H19" i="2"/>
  <c r="H21" i="2" s="1"/>
  <c r="G19" i="2"/>
  <c r="G21" i="2" s="1"/>
  <c r="F19" i="2"/>
  <c r="F21" i="2" s="1"/>
  <c r="K15" i="2"/>
  <c r="K14" i="2"/>
  <c r="K13" i="2"/>
  <c r="K12" i="2"/>
  <c r="F23" i="1"/>
  <c r="I22" i="1"/>
  <c r="H22" i="1"/>
  <c r="G22" i="1"/>
  <c r="F22" i="1"/>
  <c r="I20" i="1"/>
  <c r="H20" i="1"/>
  <c r="G20" i="1"/>
  <c r="F20" i="1"/>
  <c r="I19" i="1"/>
  <c r="I21" i="1" s="1"/>
  <c r="H19" i="1"/>
  <c r="H21" i="1" s="1"/>
  <c r="G19" i="1"/>
  <c r="G21" i="1" s="1"/>
  <c r="F19" i="1"/>
  <c r="F21" i="1" s="1"/>
  <c r="K15" i="1"/>
  <c r="K14" i="1"/>
  <c r="K13" i="1"/>
  <c r="K12" i="1"/>
</calcChain>
</file>

<file path=xl/sharedStrings.xml><?xml version="1.0" encoding="utf-8"?>
<sst xmlns="http://schemas.openxmlformats.org/spreadsheetml/2006/main" count="115" uniqueCount="60">
  <si>
    <t>CONFIDENTLY WRONG  ·  INSTRUMENT 1 OF 4</t>
  </si>
  <si>
    <t>The Personal ARI Worksheet</t>
  </si>
  <si>
    <t>Fifteen minutes, one decision, one sheet. It makes the architecture around a single routine decision visible.</t>
  </si>
  <si>
    <t>Enter levels 0 to 5 in the cream cells only. Everything else calculates.</t>
  </si>
  <si>
    <t>The decision</t>
  </si>
  <si>
    <t>Date</t>
  </si>
  <si>
    <t>The scale and your scores</t>
  </si>
  <si>
    <t>Dimension</t>
  </si>
  <si>
    <t>Question</t>
  </si>
  <si>
    <t>Level 0 (0.0)</t>
  </si>
  <si>
    <t>Level 5 (1.0)</t>
  </si>
  <si>
    <t>Your score</t>
  </si>
  <si>
    <t>Second score</t>
  </si>
  <si>
    <t>Day 90</t>
  </si>
  <si>
    <t>Month 18</t>
  </si>
  <si>
    <t>O  Ontology</t>
  </si>
  <si>
    <t>Do the sources feeding this decision agree on what the entities mean?</t>
  </si>
  <si>
    <t>Several systems, incompatible definitions</t>
  </si>
  <si>
    <t>One shared definition, queryable while deciding</t>
  </si>
  <si>
    <t>J  Judgment</t>
  </si>
  <si>
    <t>Three colleagues, same inputs, deciding separately. How far apart do the answers land?</t>
  </si>
  <si>
    <t>Three different answers, guaranteed</t>
  </si>
  <si>
    <t>Three answers inside a narrow band</t>
  </si>
  <si>
    <t>D  Decision</t>
  </si>
  <si>
    <t>How long between the fact existing somewhere in the company and the decision being made, measured against what the decision can tolerate?</t>
  </si>
  <si>
    <t>Far slower than the decision can bear, often a full reporting cycle</t>
  </si>
  <si>
    <t>As fast as the decision can use, and no faster</t>
  </si>
  <si>
    <t>S  Scale</t>
  </si>
  <si>
    <t>Shaped to the case in front of you, or a template across a category?</t>
  </si>
  <si>
    <t>The identical answer every time</t>
  </si>
  <si>
    <t>Genuine individualization across the whole population</t>
  </si>
  <si>
    <t>Level 1, ad hoc, is 0.2. Level 2, structured, is 0.4. Level 3, systematic, is 0.6. Level 4, optimized, is 0.8. Level 0 is absent and Level 5 is self-correcting. Most honest answers sit in the middle.</t>
  </si>
  <si>
    <t>The arithmetic</t>
  </si>
  <si>
    <t>ARI product</t>
  </si>
  <si>
    <t>O × J × D × S, each level converted to 0.0–1.0</t>
  </si>
  <si>
    <t>Range</t>
  </si>
  <si>
    <t>Half a level either way on every dimension. Half a level moves the composite considerably, so report the range beside the number.</t>
  </si>
  <si>
    <t>Reading</t>
  </si>
  <si>
    <t>See the bands below</t>
  </si>
  <si>
    <t>Breaks first</t>
  </si>
  <si>
    <t>The lowest dimension. That is where the program should begin. Ties are all named.</t>
  </si>
  <si>
    <t>Largest divergence</t>
  </si>
  <si>
    <t>Your score against the second score, by dimension</t>
  </si>
  <si>
    <t>A single Level 0 anywhere produces zero, whatever sits in the other three. The instrument is making a claim there. These four are conditions, and a decision that cannot respond to the case in front of it fails outright rather than scoring poorly in one column. If you landed on zero, the sheet has done its work already. Write down which dimension produced it, because that one is the whole project and the other three are waiting on it.</t>
  </si>
  <si>
    <t>Reading the result</t>
  </si>
  <si>
    <t>Result</t>
  </si>
  <si>
    <t>Below 0.10</t>
  </si>
  <si>
    <t>The Dead Zone. The architecture permits nothing better here. This describes the room and not the person standing in it. Many decisions in many companies land in this band.</t>
  </si>
  <si>
    <t>0.10 to 0.30</t>
  </si>
  <si>
    <t>The transition zone. Adequate answers are reachable at a cost nobody has ever counted.</t>
  </si>
  <si>
    <t>Over 0.30</t>
  </si>
  <si>
    <t>Somebody built this deliberately. Find out who, and when. Clearing this takes close to Level 4 in all four at once, which is rare anywhere.</t>
  </si>
  <si>
    <t>The cut points were chosen, as every threshold in this book was. Move them once your organization has run this often enough to know where it actually breaks.</t>
  </si>
  <si>
    <t>One honest sentence about what surprised you</t>
  </si>
  <si>
    <t>From Confidently Wrong  ·  theconfidentlywrong.com  ·  Free to use inside your organization</t>
  </si>
  <si>
    <t>The Personal ARI Worksheet — Example</t>
  </si>
  <si>
    <t>A worked example: all four at Level 3 gives 0.13, where an average would have promised 0.6. Use the first sheet for your own decision.</t>
  </si>
  <si>
    <t>Pricing exception above 10% discount</t>
  </si>
  <si>
    <t>4 Mar 2026</t>
  </si>
  <si>
    <t>The person closest to the decision scored Scale two levels lower than I 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</si>
</sst>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8"/>
      <color rgb="FF943537"/>
      <name val="Arial"/>
      <family val="2"/>
    </font>
    <font>
      <sz val="20"/>
      <color rgb="FF1C1A1A"/>
      <name val="Georgia"/>
      <family val="1"/>
    </font>
    <font>
      <i/>
      <sz val="11"/>
      <color rgb="FF2E2B2B"/>
      <name val="Georgia"/>
      <family val="1"/>
    </font>
    <font>
      <b/>
      <sz val="9"/>
      <color rgb="FF943537"/>
      <name val="Arial"/>
      <family val="2"/>
    </font>
    <font>
      <b/>
      <sz val="10"/>
      <color rgb="FF1C1A1A"/>
      <name val="Arial"/>
      <family val="2"/>
    </font>
    <font>
      <sz val="10"/>
      <color rgb="FF2E2B2B"/>
      <name val="Arial"/>
      <family val="2"/>
    </font>
    <font>
      <sz val="14"/>
      <color rgb="FF1C1A1A"/>
      <name val="Georgia"/>
      <family val="1"/>
    </font>
    <font>
      <b/>
      <sz val="9"/>
      <color rgb="FFFFFFFF"/>
      <name val="Arial"/>
      <family val="2"/>
    </font>
    <font>
      <sz val="9"/>
      <color rgb="FF2E2B2B"/>
      <name val="Arial"/>
      <family val="2"/>
    </font>
    <font>
      <sz val="9"/>
      <color rgb="FF6B6461"/>
      <name val="Arial"/>
      <family val="2"/>
    </font>
    <font>
      <b/>
      <sz val="12"/>
      <color rgb="FF1C1A1A"/>
      <name val="Arial"/>
      <family val="2"/>
    </font>
    <font>
      <i/>
      <sz val="8"/>
      <color rgb="FF6B6461"/>
      <name val="Arial"/>
      <family val="2"/>
    </font>
    <font>
      <b/>
      <sz val="9"/>
      <color rgb="FF1C1A1A"/>
      <name val="Arial"/>
      <family val="2"/>
    </font>
    <font>
      <b/>
      <sz val="8"/>
      <color rgb="FF1C1A1A"/>
      <name val="Arial"/>
      <family val="2"/>
    </font>
    <font>
      <sz val="8"/>
      <color rgb="FF6B6461"/>
      <name val="Arial"/>
      <family val="2"/>
    </font>
  </fonts>
  <fills count="5">
    <fill>
      <patternFill patternType="none"/>
    </fill>
    <fill>
      <patternFill patternType="gray125"/>
    </fill>
    <fill>
      <patternFill patternType="solid">
        <fgColor rgb="FFFBF3E4"/>
        <bgColor rgb="FFF5F2EE"/>
      </patternFill>
    </fill>
    <fill>
      <patternFill patternType="solid">
        <fgColor rgb="FF1C1A1A"/>
        <bgColor rgb="FF2E2B2B"/>
      </patternFill>
    </fill>
    <fill>
      <patternFill patternType="solid">
        <fgColor rgb="FFF5F2EE"/>
        <bgColor rgb="FFFBF3E4"/>
      </patternFill>
    </fill>
  </fills>
  <borders count="3">
    <border>
      <left/>
      <right/>
      <top/>
      <bottom/>
      <diagonal/>
    </border>
    <border>
      <left style="thin">
        <color rgb="FFD6D0C8"/>
      </left>
      <right/>
      <top style="thin">
        <color rgb="FFD6D0C8"/>
      </top>
      <bottom style="thin">
        <color rgb="FFD6D0C8"/>
      </bottom>
      <diagonal/>
    </border>
    <border>
      <left style="thin">
        <color rgb="FFD6D0C8"/>
      </left>
      <right style="thin">
        <color rgb="FFD6D0C8"/>
      </right>
      <top style="thin">
        <color rgb="FFD6D0C8"/>
      </top>
      <bottom style="thin">
        <color rgb="FFD6D0C8"/>
      </bottom>
      <diagonal/>
    </border>
  </borders>
  <cellStyleXfs count="1">
    <xf numFmtId="0" fontId="0" fillId="0" borderId="0"/>
  </cellStyleXfs>
  <cellXfs count="29">
    <xf numFmtId="0" fontId="0" fillId="0" borderId="0" xfId="0"/>
    <xf numFmtId="0" fontId="6" fillId="2" borderId="1" xfId="0" applyFont="1" applyFill="1" applyBorder="1" applyAlignment="1">
      <alignment vertical="top" wrapText="1"/>
    </xf>
    <xf numFmtId="0" fontId="9" fillId="0" borderId="1" xfId="0" applyFont="1" applyBorder="1" applyAlignment="1">
      <alignment vertical="top" wrapText="1"/>
    </xf>
    <xf numFmtId="0" fontId="8" fillId="3" borderId="1" xfId="0" applyFont="1" applyFill="1" applyBorder="1" applyAlignment="1">
      <alignment vertical="center"/>
    </xf>
    <xf numFmtId="0" fontId="9" fillId="0" borderId="0" xfId="0" applyFont="1" applyAlignment="1">
      <alignment vertical="top" wrapText="1"/>
    </xf>
    <xf numFmtId="0" fontId="5" fillId="4" borderId="1" xfId="0" applyFont="1" applyFill="1" applyBorder="1" applyAlignment="1">
      <alignment horizontal="center" vertical="center" wrapText="1"/>
    </xf>
    <xf numFmtId="0" fontId="10" fillId="0" borderId="1" xfId="0" applyFont="1" applyBorder="1" applyAlignment="1">
      <alignment vertical="center" wrapText="1"/>
    </xf>
    <xf numFmtId="0" fontId="12" fillId="0" borderId="0" xfId="0" applyFont="1" applyAlignment="1">
      <alignment vertical="top" wrapText="1"/>
    </xf>
    <xf numFmtId="0" fontId="6" fillId="2" borderId="1" xfId="0" applyFont="1" applyFill="1" applyBorder="1" applyAlignment="1">
      <alignment vertical="center"/>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center"/>
    </xf>
    <xf numFmtId="0" fontId="5" fillId="0" borderId="0" xfId="0" applyFont="1" applyAlignment="1">
      <alignment horizontal="right" vertical="center"/>
    </xf>
    <xf numFmtId="0" fontId="7" fillId="0" borderId="0" xfId="0" applyFont="1"/>
    <xf numFmtId="0" fontId="8" fillId="3" borderId="2" xfId="0" applyFont="1" applyFill="1" applyBorder="1" applyAlignment="1">
      <alignment vertical="center"/>
    </xf>
    <xf numFmtId="0" fontId="8" fillId="3" borderId="2" xfId="0" applyFont="1" applyFill="1" applyBorder="1" applyAlignment="1">
      <alignment horizontal="center" vertical="center" wrapText="1"/>
    </xf>
    <xf numFmtId="0" fontId="5" fillId="0" borderId="2" xfId="0" applyFont="1" applyBorder="1" applyAlignment="1">
      <alignment vertical="top" wrapText="1"/>
    </xf>
    <xf numFmtId="0" fontId="9" fillId="0" borderId="2" xfId="0" applyFont="1" applyBorder="1" applyAlignment="1">
      <alignment vertical="top" wrapText="1"/>
    </xf>
    <xf numFmtId="0" fontId="10" fillId="0" borderId="2" xfId="0" applyFont="1" applyBorder="1" applyAlignment="1">
      <alignment vertical="top" wrapText="1"/>
    </xf>
    <xf numFmtId="1" fontId="11" fillId="2" borderId="2" xfId="0" applyNumberFormat="1" applyFont="1" applyFill="1" applyBorder="1" applyAlignment="1">
      <alignment horizontal="center" vertical="center" wrapText="1"/>
    </xf>
    <xf numFmtId="0" fontId="5" fillId="0" borderId="2" xfId="0" applyFont="1" applyBorder="1" applyAlignment="1">
      <alignment vertical="center"/>
    </xf>
    <xf numFmtId="2" fontId="11" fillId="4" borderId="2" xfId="0" applyNumberFormat="1" applyFont="1" applyFill="1" applyBorder="1" applyAlignment="1">
      <alignment horizontal="center" vertical="center" wrapText="1"/>
    </xf>
    <xf numFmtId="0" fontId="13" fillId="4"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5" fillId="0" borderId="0" xfId="0" applyFont="1"/>
    <xf numFmtId="0" fontId="15"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6D0C8"/>
      <rgbColor rgb="FF808080"/>
      <rgbColor rgb="FF9999FF"/>
      <rgbColor rgb="FF943537"/>
      <rgbColor rgb="FFFBF3E4"/>
      <rgbColor rgb="FFF5F2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461"/>
      <rgbColor rgb="FF969696"/>
      <rgbColor rgb="FF003366"/>
      <rgbColor rgb="FF339966"/>
      <rgbColor rgb="FF003300"/>
      <rgbColor rgb="FF1C1A1A"/>
      <rgbColor rgb="FF993300"/>
      <rgbColor rgb="FF993366"/>
      <rgbColor rgb="FF333399"/>
      <rgbColor rgb="FF2E2B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K36"/>
  <sheetViews>
    <sheetView showGridLines="0" tabSelected="1" zoomScaleNormal="100" workbookViewId="0"/>
  </sheetViews>
  <sheetFormatPr baseColWidth="10" defaultColWidth="8.6640625" defaultRowHeight="15" x14ac:dyDescent="0.2"/>
  <cols>
    <col min="1" max="1" width="2" customWidth="1"/>
    <col min="2" max="2" width="20" customWidth="1"/>
    <col min="3" max="3" width="44" customWidth="1"/>
    <col min="4" max="5" width="26" customWidth="1"/>
    <col min="6" max="9" width="13" customWidth="1"/>
    <col min="10" max="10" width="2" customWidth="1"/>
    <col min="11" max="11" width="8" hidden="1" customWidth="1"/>
  </cols>
  <sheetData>
    <row r="2" spans="2:11" x14ac:dyDescent="0.2">
      <c r="B2" s="9" t="s">
        <v>0</v>
      </c>
    </row>
    <row r="3" spans="2:11" ht="25" x14ac:dyDescent="0.25">
      <c r="B3" s="10" t="s">
        <v>1</v>
      </c>
    </row>
    <row r="4" spans="2:11" x14ac:dyDescent="0.2">
      <c r="B4" s="11" t="s">
        <v>2</v>
      </c>
    </row>
    <row r="6" spans="2:11" x14ac:dyDescent="0.2">
      <c r="B6" s="12" t="s">
        <v>3</v>
      </c>
    </row>
    <row r="8" spans="2:11" ht="21.75" customHeight="1" x14ac:dyDescent="0.2">
      <c r="B8" s="13" t="s">
        <v>4</v>
      </c>
      <c r="C8" s="8"/>
      <c r="D8" s="8"/>
      <c r="E8" s="8"/>
      <c r="G8" s="14" t="s">
        <v>5</v>
      </c>
      <c r="H8" s="8"/>
      <c r="I8" s="8"/>
    </row>
    <row r="10" spans="2:11" ht="18" x14ac:dyDescent="0.2">
      <c r="B10" s="15" t="s">
        <v>6</v>
      </c>
    </row>
    <row r="11" spans="2:11" ht="21.75" customHeight="1" x14ac:dyDescent="0.2">
      <c r="B11" s="16" t="s">
        <v>7</v>
      </c>
      <c r="C11" s="16" t="s">
        <v>8</v>
      </c>
      <c r="D11" s="16" t="s">
        <v>9</v>
      </c>
      <c r="E11" s="16" t="s">
        <v>10</v>
      </c>
      <c r="F11" s="17" t="s">
        <v>11</v>
      </c>
      <c r="G11" s="17" t="s">
        <v>12</v>
      </c>
      <c r="H11" s="17" t="s">
        <v>13</v>
      </c>
      <c r="I11" s="17" t="s">
        <v>14</v>
      </c>
    </row>
    <row r="12" spans="2:11" ht="48" customHeight="1" x14ac:dyDescent="0.2">
      <c r="B12" s="18" t="s">
        <v>15</v>
      </c>
      <c r="C12" s="19" t="s">
        <v>16</v>
      </c>
      <c r="D12" s="20" t="s">
        <v>17</v>
      </c>
      <c r="E12" s="20" t="s">
        <v>18</v>
      </c>
      <c r="F12" s="21"/>
      <c r="G12" s="21"/>
      <c r="H12" s="21"/>
      <c r="I12" s="21"/>
      <c r="K12" t="str">
        <f>IF(AND(ISNUMBER(F12),ISNUMBER(G12)),ABS(F12-G12),"")</f>
        <v/>
      </c>
    </row>
    <row r="13" spans="2:11" ht="48" customHeight="1" x14ac:dyDescent="0.2">
      <c r="B13" s="18" t="s">
        <v>19</v>
      </c>
      <c r="C13" s="19" t="s">
        <v>20</v>
      </c>
      <c r="D13" s="20" t="s">
        <v>21</v>
      </c>
      <c r="E13" s="20" t="s">
        <v>22</v>
      </c>
      <c r="F13" s="21"/>
      <c r="G13" s="21"/>
      <c r="H13" s="21"/>
      <c r="I13" s="21"/>
      <c r="K13" t="str">
        <f>IF(AND(ISNUMBER(F13),ISNUMBER(G13)),ABS(F13-G13),"")</f>
        <v/>
      </c>
    </row>
    <row r="14" spans="2:11" ht="48" customHeight="1" x14ac:dyDescent="0.2">
      <c r="B14" s="18" t="s">
        <v>23</v>
      </c>
      <c r="C14" s="19" t="s">
        <v>24</v>
      </c>
      <c r="D14" s="20" t="s">
        <v>25</v>
      </c>
      <c r="E14" s="20" t="s">
        <v>26</v>
      </c>
      <c r="F14" s="21"/>
      <c r="G14" s="21"/>
      <c r="H14" s="21"/>
      <c r="I14" s="21"/>
      <c r="K14" t="str">
        <f>IF(AND(ISNUMBER(F14),ISNUMBER(G14)),ABS(F14-G14),"")</f>
        <v/>
      </c>
    </row>
    <row r="15" spans="2:11" ht="48" customHeight="1" x14ac:dyDescent="0.2">
      <c r="B15" s="18" t="s">
        <v>27</v>
      </c>
      <c r="C15" s="19" t="s">
        <v>28</v>
      </c>
      <c r="D15" s="20" t="s">
        <v>29</v>
      </c>
      <c r="E15" s="20" t="s">
        <v>30</v>
      </c>
      <c r="F15" s="21"/>
      <c r="G15" s="21"/>
      <c r="H15" s="21"/>
      <c r="I15" s="21"/>
      <c r="K15" t="str">
        <f>IF(AND(ISNUMBER(F15),ISNUMBER(G15)),ABS(F15-G15),"")</f>
        <v/>
      </c>
    </row>
    <row r="16" spans="2:11" ht="25.5" customHeight="1" x14ac:dyDescent="0.2">
      <c r="B16" s="7" t="s">
        <v>31</v>
      </c>
      <c r="C16" s="7"/>
      <c r="D16" s="7"/>
      <c r="E16" s="7"/>
      <c r="F16" s="7"/>
      <c r="G16" s="7"/>
      <c r="H16" s="7"/>
      <c r="I16" s="7"/>
    </row>
    <row r="18" spans="2:9" ht="18" x14ac:dyDescent="0.2">
      <c r="B18" s="15" t="s">
        <v>32</v>
      </c>
    </row>
    <row r="19" spans="2:9" ht="30" customHeight="1" x14ac:dyDescent="0.2">
      <c r="B19" s="22" t="s">
        <v>33</v>
      </c>
      <c r="C19" s="6" t="s">
        <v>34</v>
      </c>
      <c r="D19" s="6"/>
      <c r="E19" s="6"/>
      <c r="F19" s="23" t="str">
        <f>IF(COUNT(F12:F15)=4,PRODUCT(F12:F15)/625,"")</f>
        <v/>
      </c>
      <c r="G19" s="23" t="str">
        <f>IF(COUNT(G12:G15)=4,PRODUCT(G12:G15)/625,"")</f>
        <v/>
      </c>
      <c r="H19" s="23" t="str">
        <f>IF(COUNT(H12:H15)=4,PRODUCT(H12:H15)/625,"")</f>
        <v/>
      </c>
      <c r="I19" s="23" t="str">
        <f>IF(COUNT(I12:I15)=4,PRODUCT(I12:I15)/625,"")</f>
        <v/>
      </c>
    </row>
    <row r="20" spans="2:9" ht="30" customHeight="1" x14ac:dyDescent="0.2">
      <c r="B20" s="22" t="s">
        <v>35</v>
      </c>
      <c r="C20" s="6" t="s">
        <v>36</v>
      </c>
      <c r="D20" s="6"/>
      <c r="E20" s="6"/>
      <c r="F20" s="24" t="str">
        <f>IF(COUNT(F12:F15)=4,TEXT((MAX(F12-0.5,0)*MAX(F13-0.5,0)*MAX(F14-0.5,0)*MAX(F15-0.5,0))/625,"0.00")&amp;" – "&amp;TEXT((MIN(F12+0.5,5)*MIN(F13+0.5,5)*MIN(F14+0.5,5)*MIN(F15+0.5,5))/625,"0.00"),"")</f>
        <v/>
      </c>
      <c r="G20" s="24" t="str">
        <f>IF(COUNT(G12:G15)=4,TEXT((MAX(G12-0.5,0)*MAX(G13-0.5,0)*MAX(G14-0.5,0)*MAX(G15-0.5,0))/625,"0.00")&amp;" – "&amp;TEXT((MIN(G12+0.5,5)*MIN(G13+0.5,5)*MIN(G14+0.5,5)*MIN(G15+0.5,5))/625,"0.00"),"")</f>
        <v/>
      </c>
      <c r="H20" s="24" t="str">
        <f>IF(COUNT(H12:H15)=4,TEXT((MAX(H12-0.5,0)*MAX(H13-0.5,0)*MAX(H14-0.5,0)*MAX(H15-0.5,0))/625,"0.00")&amp;" – "&amp;TEXT((MIN(H12+0.5,5)*MIN(H13+0.5,5)*MIN(H14+0.5,5)*MIN(H15+0.5,5))/625,"0.00"),"")</f>
        <v/>
      </c>
      <c r="I20" s="24" t="str">
        <f>IF(COUNT(I12:I15)=4,TEXT((MAX(I12-0.5,0)*MAX(I13-0.5,0)*MAX(I14-0.5,0)*MAX(I15-0.5,0))/625,"0.00")&amp;" – "&amp;TEXT((MIN(I12+0.5,5)*MIN(I13+0.5,5)*MIN(I14+0.5,5)*MIN(I15+0.5,5))/625,"0.00"),"")</f>
        <v/>
      </c>
    </row>
    <row r="21" spans="2:9" ht="30" customHeight="1" x14ac:dyDescent="0.2">
      <c r="B21" s="22" t="s">
        <v>37</v>
      </c>
      <c r="C21" s="6" t="s">
        <v>38</v>
      </c>
      <c r="D21" s="6"/>
      <c r="E21" s="6"/>
      <c r="F21" s="25" t="str">
        <f>IF(F19="","",IF(ROUND(F19,6)&lt;0.1,"Dead Zone",IF(ROUND(F19,6)&lt;=0.3,"Transition","Over 0.30")))</f>
        <v/>
      </c>
      <c r="G21" s="25" t="str">
        <f>IF(G19="","",IF(ROUND(G19,6)&lt;0.1,"Dead Zone",IF(ROUND(G19,6)&lt;=0.3,"Transition","Over 0.30")))</f>
        <v/>
      </c>
      <c r="H21" s="25" t="str">
        <f>IF(H19="","",IF(ROUND(H19,6)&lt;0.1,"Dead Zone",IF(ROUND(H19,6)&lt;=0.3,"Transition","Over 0.30")))</f>
        <v/>
      </c>
      <c r="I21" s="25" t="str">
        <f>IF(I19="","",IF(ROUND(I19,6)&lt;0.1,"Dead Zone",IF(ROUND(I19,6)&lt;=0.3,"Transition","Over 0.30")))</f>
        <v/>
      </c>
    </row>
    <row r="22" spans="2:9" ht="30" customHeight="1" x14ac:dyDescent="0.2">
      <c r="B22" s="22" t="s">
        <v>39</v>
      </c>
      <c r="C22" s="6" t="s">
        <v>40</v>
      </c>
      <c r="D22" s="6"/>
      <c r="E22" s="6"/>
      <c r="F22" s="26" t="str">
        <f>IF(COUNT(F12:F15)=4,LEFT(IF(F12=MIN(F12:F15),$B$12&amp;" · ","")&amp;IF(F13=MIN(F12:F15),$B$13&amp;" · ","")&amp;IF(F14=MIN(F12:F15),$B$14&amp;" · ","")&amp;IF(F15=MIN(F12:F15),$B$15&amp;" · ",""),LEN(IF(F12=MIN(F12:F15),$B$12&amp;" · ","")&amp;IF(F13=MIN(F12:F15),$B$13&amp;" · ","")&amp;IF(F14=MIN(F12:F15),$B$14&amp;" · ","")&amp;IF(F15=MIN(F12:F15),$B$15&amp;" · ",""))-3),"")</f>
        <v/>
      </c>
      <c r="G22" s="26" t="str">
        <f>IF(COUNT(G12:G15)=4,LEFT(IF(G12=MIN(G12:G15),$B$12&amp;" · ","")&amp;IF(G13=MIN(G12:G15),$B$13&amp;" · ","")&amp;IF(G14=MIN(G12:G15),$B$14&amp;" · ","")&amp;IF(G15=MIN(G12:G15),$B$15&amp;" · ",""),LEN(IF(G12=MIN(G12:G15),$B$12&amp;" · ","")&amp;IF(G13=MIN(G12:G15),$B$13&amp;" · ","")&amp;IF(G14=MIN(G12:G15),$B$14&amp;" · ","")&amp;IF(G15=MIN(G12:G15),$B$15&amp;" · ",""))-3),"")</f>
        <v/>
      </c>
      <c r="H22" s="26" t="str">
        <f>IF(COUNT(H12:H15)=4,LEFT(IF(H12=MIN(H12:H15),$B$12&amp;" · ","")&amp;IF(H13=MIN(H12:H15),$B$13&amp;" · ","")&amp;IF(H14=MIN(H12:H15),$B$14&amp;" · ","")&amp;IF(H15=MIN(H12:H15),$B$15&amp;" · ",""),LEN(IF(H12=MIN(H12:H15),$B$12&amp;" · ","")&amp;IF(H13=MIN(H12:H15),$B$13&amp;" · ","")&amp;IF(H14=MIN(H12:H15),$B$14&amp;" · ","")&amp;IF(H15=MIN(H12:H15),$B$15&amp;" · ",""))-3),"")</f>
        <v/>
      </c>
      <c r="I22" s="26" t="str">
        <f>IF(COUNT(I12:I15)=4,LEFT(IF(I12=MIN(I12:I15),$B$12&amp;" · ","")&amp;IF(I13=MIN(I12:I15),$B$13&amp;" · ","")&amp;IF(I14=MIN(I12:I15),$B$14&amp;" · ","")&amp;IF(I15=MIN(I12:I15),$B$15&amp;" · ",""),LEN(IF(I12=MIN(I12:I15),$B$12&amp;" · ","")&amp;IF(I13=MIN(I12:I15),$B$13&amp;" · ","")&amp;IF(I14=MIN(I12:I15),$B$14&amp;" · ","")&amp;IF(I15=MIN(I12:I15),$B$15&amp;" · ",""))-3),"")</f>
        <v/>
      </c>
    </row>
    <row r="23" spans="2:9" ht="30" customHeight="1" x14ac:dyDescent="0.2">
      <c r="B23" s="22" t="s">
        <v>41</v>
      </c>
      <c r="C23" s="6" t="s">
        <v>42</v>
      </c>
      <c r="D23" s="6"/>
      <c r="E23" s="6"/>
      <c r="F23" s="5" t="str">
        <f>IF(COUNT(F12:G15)&lt;8,"",IF(MAX(K12:K15)=0,"No divergence",LEFT(IF(K12=MAX(K12:K15),$B$12&amp;" · ","")&amp;IF(K13=MAX(K12:K15),$B$13&amp;" · ","")&amp;IF(K14=MAX(K12:K15),$B$14&amp;" · ","")&amp;IF(K15=MAX(K12:K15),$B$15&amp;" · ",""),LEN(IF(K12=MAX(K12:K15),$B$12&amp;" · ","")&amp;IF(K13=MAX(K12:K15),$B$13&amp;" · ","")&amp;IF(K14=MAX(K12:K15),$B$14&amp;" · ","")&amp;IF(K15=MAX(K12:K15),$B$15&amp;" · ",""))-3)))</f>
        <v/>
      </c>
      <c r="G23" s="5"/>
      <c r="H23" s="5"/>
      <c r="I23" s="5"/>
    </row>
    <row r="24" spans="2:9" ht="63.75" customHeight="1" x14ac:dyDescent="0.2">
      <c r="B24" s="4" t="s">
        <v>43</v>
      </c>
      <c r="C24" s="4"/>
      <c r="D24" s="4"/>
      <c r="E24" s="4"/>
      <c r="F24" s="4"/>
      <c r="G24" s="4"/>
      <c r="H24" s="4"/>
      <c r="I24" s="4"/>
    </row>
    <row r="26" spans="2:9" ht="18" x14ac:dyDescent="0.2">
      <c r="B26" s="15" t="s">
        <v>44</v>
      </c>
    </row>
    <row r="27" spans="2:9" x14ac:dyDescent="0.2">
      <c r="B27" s="16" t="s">
        <v>45</v>
      </c>
      <c r="C27" s="3" t="s">
        <v>37</v>
      </c>
      <c r="D27" s="3"/>
      <c r="E27" s="3"/>
      <c r="F27" s="3"/>
      <c r="G27" s="3"/>
      <c r="H27" s="3"/>
      <c r="I27" s="3"/>
    </row>
    <row r="28" spans="2:9" ht="30" customHeight="1" x14ac:dyDescent="0.2">
      <c r="B28" s="18" t="s">
        <v>46</v>
      </c>
      <c r="C28" s="2" t="s">
        <v>47</v>
      </c>
      <c r="D28" s="2"/>
      <c r="E28" s="2"/>
      <c r="F28" s="2"/>
      <c r="G28" s="2"/>
      <c r="H28" s="2"/>
      <c r="I28" s="2"/>
    </row>
    <row r="29" spans="2:9" ht="30" customHeight="1" x14ac:dyDescent="0.2">
      <c r="B29" s="18" t="s">
        <v>48</v>
      </c>
      <c r="C29" s="2" t="s">
        <v>49</v>
      </c>
      <c r="D29" s="2"/>
      <c r="E29" s="2"/>
      <c r="F29" s="2"/>
      <c r="G29" s="2"/>
      <c r="H29" s="2"/>
      <c r="I29" s="2"/>
    </row>
    <row r="30" spans="2:9" ht="30" customHeight="1" x14ac:dyDescent="0.2">
      <c r="B30" s="18" t="s">
        <v>50</v>
      </c>
      <c r="C30" s="2" t="s">
        <v>51</v>
      </c>
      <c r="D30" s="2"/>
      <c r="E30" s="2"/>
      <c r="F30" s="2"/>
      <c r="G30" s="2"/>
      <c r="H30" s="2"/>
      <c r="I30" s="2"/>
    </row>
    <row r="31" spans="2:9" ht="15" customHeight="1" x14ac:dyDescent="0.2">
      <c r="B31" s="7" t="s">
        <v>52</v>
      </c>
      <c r="C31" s="7"/>
      <c r="D31" s="7"/>
      <c r="E31" s="7"/>
      <c r="F31" s="7"/>
      <c r="G31" s="7"/>
      <c r="H31" s="7"/>
      <c r="I31" s="7"/>
    </row>
    <row r="33" spans="2:9" x14ac:dyDescent="0.2">
      <c r="B33" s="27" t="s">
        <v>53</v>
      </c>
    </row>
    <row r="34" spans="2:9" ht="39.75" customHeight="1" x14ac:dyDescent="0.2">
      <c r="B34" s="1"/>
      <c r="C34" s="1"/>
      <c r="D34" s="1"/>
      <c r="E34" s="1"/>
      <c r="F34" s="1"/>
      <c r="G34" s="1"/>
      <c r="H34" s="1"/>
      <c r="I34" s="1"/>
    </row>
    <row r="36" spans="2:9" x14ac:dyDescent="0.2">
      <c r="B36" s="28" t="s">
        <v>54</v>
      </c>
    </row>
  </sheetData>
  <mergeCells count="16">
    <mergeCell ref="B34:I34"/>
    <mergeCell ref="C27:I27"/>
    <mergeCell ref="C28:I28"/>
    <mergeCell ref="C29:I29"/>
    <mergeCell ref="C30:I30"/>
    <mergeCell ref="B31:I31"/>
    <mergeCell ref="C21:E21"/>
    <mergeCell ref="C22:E22"/>
    <mergeCell ref="C23:E23"/>
    <mergeCell ref="F23:I23"/>
    <mergeCell ref="B24:I24"/>
    <mergeCell ref="C8:E8"/>
    <mergeCell ref="H8:I8"/>
    <mergeCell ref="B16:I16"/>
    <mergeCell ref="C19:E19"/>
    <mergeCell ref="C20:E20"/>
  </mergeCells>
  <dataValidations count="1">
    <dataValidation type="whole" allowBlank="1" showErrorMessage="1" errorTitle="Level 0 to 5" error="Enter a whole number from 0 (absent) to 5 (self-correcting)." sqref="F12:I15" xr:uid="{00000000-0002-0000-0000-000000000000}">
      <formula1>0</formula1>
      <formula2>5</formula2>
    </dataValidation>
  </dataValidation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K36"/>
  <sheetViews>
    <sheetView showGridLines="0" zoomScaleNormal="100" workbookViewId="0"/>
  </sheetViews>
  <sheetFormatPr baseColWidth="10" defaultColWidth="8.6640625" defaultRowHeight="15" x14ac:dyDescent="0.2"/>
  <cols>
    <col min="1" max="1" width="2" customWidth="1"/>
    <col min="2" max="2" width="20" customWidth="1"/>
    <col min="3" max="3" width="44" customWidth="1"/>
    <col min="4" max="5" width="26" customWidth="1"/>
    <col min="6" max="9" width="13" customWidth="1"/>
    <col min="10" max="10" width="2" customWidth="1"/>
    <col min="11" max="11" width="8" hidden="1" customWidth="1"/>
  </cols>
  <sheetData>
    <row r="2" spans="2:11" x14ac:dyDescent="0.2">
      <c r="B2" s="9" t="s">
        <v>0</v>
      </c>
    </row>
    <row r="3" spans="2:11" ht="25" x14ac:dyDescent="0.25">
      <c r="B3" s="10" t="s">
        <v>55</v>
      </c>
    </row>
    <row r="4" spans="2:11" x14ac:dyDescent="0.2">
      <c r="B4" s="11" t="s">
        <v>2</v>
      </c>
    </row>
    <row r="6" spans="2:11" x14ac:dyDescent="0.2">
      <c r="B6" s="12" t="s">
        <v>56</v>
      </c>
    </row>
    <row r="8" spans="2:11" ht="21.75" customHeight="1" x14ac:dyDescent="0.2">
      <c r="B8" s="13" t="s">
        <v>4</v>
      </c>
      <c r="C8" s="8" t="s">
        <v>57</v>
      </c>
      <c r="D8" s="8"/>
      <c r="E8" s="8"/>
      <c r="G8" s="14" t="s">
        <v>5</v>
      </c>
      <c r="H8" s="8" t="s">
        <v>58</v>
      </c>
      <c r="I8" s="8"/>
    </row>
    <row r="10" spans="2:11" ht="18" x14ac:dyDescent="0.2">
      <c r="B10" s="15" t="s">
        <v>6</v>
      </c>
    </row>
    <row r="11" spans="2:11" ht="21.75" customHeight="1" x14ac:dyDescent="0.2">
      <c r="B11" s="16" t="s">
        <v>7</v>
      </c>
      <c r="C11" s="16" t="s">
        <v>8</v>
      </c>
      <c r="D11" s="16" t="s">
        <v>9</v>
      </c>
      <c r="E11" s="16" t="s">
        <v>10</v>
      </c>
      <c r="F11" s="17" t="s">
        <v>11</v>
      </c>
      <c r="G11" s="17" t="s">
        <v>12</v>
      </c>
      <c r="H11" s="17" t="s">
        <v>13</v>
      </c>
      <c r="I11" s="17" t="s">
        <v>14</v>
      </c>
    </row>
    <row r="12" spans="2:11" ht="48" customHeight="1" x14ac:dyDescent="0.2">
      <c r="B12" s="18" t="s">
        <v>15</v>
      </c>
      <c r="C12" s="19" t="s">
        <v>16</v>
      </c>
      <c r="D12" s="20" t="s">
        <v>17</v>
      </c>
      <c r="E12" s="20" t="s">
        <v>18</v>
      </c>
      <c r="F12" s="21">
        <v>3</v>
      </c>
      <c r="G12" s="21">
        <v>3</v>
      </c>
      <c r="H12" s="21">
        <v>3</v>
      </c>
      <c r="I12" s="21"/>
      <c r="K12">
        <f>IF(AND(ISNUMBER(F12),ISNUMBER(G12)),ABS(F12-G12),"")</f>
        <v>0</v>
      </c>
    </row>
    <row r="13" spans="2:11" ht="48" customHeight="1" x14ac:dyDescent="0.2">
      <c r="B13" s="18" t="s">
        <v>19</v>
      </c>
      <c r="C13" s="19" t="s">
        <v>20</v>
      </c>
      <c r="D13" s="20" t="s">
        <v>21</v>
      </c>
      <c r="E13" s="20" t="s">
        <v>22</v>
      </c>
      <c r="F13" s="21">
        <v>3</v>
      </c>
      <c r="G13" s="21">
        <v>2</v>
      </c>
      <c r="H13" s="21">
        <v>3</v>
      </c>
      <c r="I13" s="21"/>
      <c r="K13">
        <f>IF(AND(ISNUMBER(F13),ISNUMBER(G13)),ABS(F13-G13),"")</f>
        <v>1</v>
      </c>
    </row>
    <row r="14" spans="2:11" ht="48" customHeight="1" x14ac:dyDescent="0.2">
      <c r="B14" s="18" t="s">
        <v>23</v>
      </c>
      <c r="C14" s="19" t="s">
        <v>24</v>
      </c>
      <c r="D14" s="20" t="s">
        <v>25</v>
      </c>
      <c r="E14" s="20" t="s">
        <v>26</v>
      </c>
      <c r="F14" s="21">
        <v>3</v>
      </c>
      <c r="G14" s="21">
        <v>3</v>
      </c>
      <c r="H14" s="21">
        <v>4</v>
      </c>
      <c r="I14" s="21"/>
      <c r="K14">
        <f>IF(AND(ISNUMBER(F14),ISNUMBER(G14)),ABS(F14-G14),"")</f>
        <v>0</v>
      </c>
    </row>
    <row r="15" spans="2:11" ht="48" customHeight="1" x14ac:dyDescent="0.2">
      <c r="B15" s="18" t="s">
        <v>27</v>
      </c>
      <c r="C15" s="19" t="s">
        <v>28</v>
      </c>
      <c r="D15" s="20" t="s">
        <v>29</v>
      </c>
      <c r="E15" s="20" t="s">
        <v>30</v>
      </c>
      <c r="F15" s="21">
        <v>3</v>
      </c>
      <c r="G15" s="21">
        <v>1</v>
      </c>
      <c r="H15" s="21">
        <v>3</v>
      </c>
      <c r="I15" s="21"/>
      <c r="K15">
        <f>IF(AND(ISNUMBER(F15),ISNUMBER(G15)),ABS(F15-G15),"")</f>
        <v>2</v>
      </c>
    </row>
    <row r="16" spans="2:11" ht="25.5" customHeight="1" x14ac:dyDescent="0.2">
      <c r="B16" s="7" t="s">
        <v>31</v>
      </c>
      <c r="C16" s="7"/>
      <c r="D16" s="7"/>
      <c r="E16" s="7"/>
      <c r="F16" s="7"/>
      <c r="G16" s="7"/>
      <c r="H16" s="7"/>
      <c r="I16" s="7"/>
    </row>
    <row r="18" spans="2:9" ht="18" x14ac:dyDescent="0.2">
      <c r="B18" s="15" t="s">
        <v>32</v>
      </c>
    </row>
    <row r="19" spans="2:9" ht="30" customHeight="1" x14ac:dyDescent="0.2">
      <c r="B19" s="22" t="s">
        <v>33</v>
      </c>
      <c r="C19" s="6" t="s">
        <v>34</v>
      </c>
      <c r="D19" s="6"/>
      <c r="E19" s="6"/>
      <c r="F19" s="23">
        <f>IF(COUNT(F12:F15)=4,PRODUCT(F12:F15)/625,"")</f>
        <v>0.12959999999999999</v>
      </c>
      <c r="G19" s="23">
        <f>IF(COUNT(G12:G15)=4,PRODUCT(G12:G15)/625,"")</f>
        <v>2.8799999999999999E-2</v>
      </c>
      <c r="H19" s="23">
        <f>IF(COUNT(H12:H15)=4,PRODUCT(H12:H15)/625,"")</f>
        <v>0.17280000000000001</v>
      </c>
      <c r="I19" s="23" t="str">
        <f>IF(COUNT(I12:I15)=4,PRODUCT(I12:I15)/625,"")</f>
        <v/>
      </c>
    </row>
    <row r="20" spans="2:9" ht="30" customHeight="1" x14ac:dyDescent="0.2">
      <c r="B20" s="22" t="s">
        <v>35</v>
      </c>
      <c r="C20" s="6" t="s">
        <v>36</v>
      </c>
      <c r="D20" s="6"/>
      <c r="E20" s="6"/>
      <c r="F20" s="24" t="str">
        <f>IF(COUNT(F12:F15)=4,TEXT((MAX(F12-0.5,0)*MAX(F13-0.5,0)*MAX(F14-0.5,0)*MAX(F15-0.5,0))/625,"0.00")&amp;" – "&amp;TEXT((MIN(F12+0.5,5)*MIN(F13+0.5,5)*MIN(F14+0.5,5)*MIN(F15+0.5,5))/625,"0.00"),"")</f>
        <v>0.06 – 0.24</v>
      </c>
      <c r="G20" s="24" t="str">
        <f>IF(COUNT(G12:G15)=4,TEXT((MAX(G12-0.5,0)*MAX(G13-0.5,0)*MAX(G14-0.5,0)*MAX(G15-0.5,0))/625,"0.00")&amp;" – "&amp;TEXT((MIN(G12+0.5,5)*MIN(G13+0.5,5)*MIN(G14+0.5,5)*MIN(G15+0.5,5))/625,"0.00"),"")</f>
        <v>0.01 – 0.07</v>
      </c>
      <c r="H20" s="24" t="str">
        <f>IF(COUNT(H12:H15)=4,TEXT((MAX(H12-0.5,0)*MAX(H13-0.5,0)*MAX(H14-0.5,0)*MAX(H15-0.5,0))/625,"0.00")&amp;" – "&amp;TEXT((MIN(H12+0.5,5)*MIN(H13+0.5,5)*MIN(H14+0.5,5)*MIN(H15+0.5,5))/625,"0.00"),"")</f>
        <v>0.09 – 0.31</v>
      </c>
      <c r="I20" s="24" t="str">
        <f>IF(COUNT(I12:I15)=4,TEXT((MAX(I12-0.5,0)*MAX(I13-0.5,0)*MAX(I14-0.5,0)*MAX(I15-0.5,0))/625,"0.00")&amp;" – "&amp;TEXT((MIN(I12+0.5,5)*MIN(I13+0.5,5)*MIN(I14+0.5,5)*MIN(I15+0.5,5))/625,"0.00"),"")</f>
        <v/>
      </c>
    </row>
    <row r="21" spans="2:9" ht="30" customHeight="1" x14ac:dyDescent="0.2">
      <c r="B21" s="22" t="s">
        <v>37</v>
      </c>
      <c r="C21" s="6" t="s">
        <v>38</v>
      </c>
      <c r="D21" s="6"/>
      <c r="E21" s="6"/>
      <c r="F21" s="25" t="str">
        <f>IF(F19="","",IF(ROUND(F19,6)&lt;0.1,"Dead Zone",IF(ROUND(F19,6)&lt;=0.3,"Transition","Over 0.30")))</f>
        <v>Transition</v>
      </c>
      <c r="G21" s="25" t="str">
        <f>IF(G19="","",IF(ROUND(G19,6)&lt;0.1,"Dead Zone",IF(ROUND(G19,6)&lt;=0.3,"Transition","Over 0.30")))</f>
        <v>Dead Zone</v>
      </c>
      <c r="H21" s="25" t="str">
        <f>IF(H19="","",IF(ROUND(H19,6)&lt;0.1,"Dead Zone",IF(ROUND(H19,6)&lt;=0.3,"Transition","Over 0.30")))</f>
        <v>Transition</v>
      </c>
      <c r="I21" s="25" t="str">
        <f>IF(I19="","",IF(ROUND(I19,6)&lt;0.1,"Dead Zone",IF(ROUND(I19,6)&lt;=0.3,"Transition","Over 0.30")))</f>
        <v/>
      </c>
    </row>
    <row r="22" spans="2:9" ht="30" customHeight="1" x14ac:dyDescent="0.2">
      <c r="B22" s="22" t="s">
        <v>39</v>
      </c>
      <c r="C22" s="6" t="s">
        <v>40</v>
      </c>
      <c r="D22" s="6"/>
      <c r="E22" s="6"/>
      <c r="F22" s="26" t="str">
        <f>IF(COUNT(F12:F15)=4,LEFT(IF(F12=MIN(F12:F15),$B$12&amp;" · ","")&amp;IF(F13=MIN(F12:F15),$B$13&amp;" · ","")&amp;IF(F14=MIN(F12:F15),$B$14&amp;" · ","")&amp;IF(F15=MIN(F12:F15),$B$15&amp;" · ",""),LEN(IF(F12=MIN(F12:F15),$B$12&amp;" · ","")&amp;IF(F13=MIN(F12:F15),$B$13&amp;" · ","")&amp;IF(F14=MIN(F12:F15),$B$14&amp;" · ","")&amp;IF(F15=MIN(F12:F15),$B$15&amp;" · ",""))-3),"")</f>
        <v>O  Ontology · J  Judgment · D  Decision · S  Scale</v>
      </c>
      <c r="G22" s="26" t="str">
        <f>IF(COUNT(G12:G15)=4,LEFT(IF(G12=MIN(G12:G15),$B$12&amp;" · ","")&amp;IF(G13=MIN(G12:G15),$B$13&amp;" · ","")&amp;IF(G14=MIN(G12:G15),$B$14&amp;" · ","")&amp;IF(G15=MIN(G12:G15),$B$15&amp;" · ",""),LEN(IF(G12=MIN(G12:G15),$B$12&amp;" · ","")&amp;IF(G13=MIN(G12:G15),$B$13&amp;" · ","")&amp;IF(G14=MIN(G12:G15),$B$14&amp;" · ","")&amp;IF(G15=MIN(G12:G15),$B$15&amp;" · ",""))-3),"")</f>
        <v>S  Scale</v>
      </c>
      <c r="H22" s="26" t="str">
        <f>IF(COUNT(H12:H15)=4,LEFT(IF(H12=MIN(H12:H15),$B$12&amp;" · ","")&amp;IF(H13=MIN(H12:H15),$B$13&amp;" · ","")&amp;IF(H14=MIN(H12:H15),$B$14&amp;" · ","")&amp;IF(H15=MIN(H12:H15),$B$15&amp;" · ",""),LEN(IF(H12=MIN(H12:H15),$B$12&amp;" · ","")&amp;IF(H13=MIN(H12:H15),$B$13&amp;" · ","")&amp;IF(H14=MIN(H12:H15),$B$14&amp;" · ","")&amp;IF(H15=MIN(H12:H15),$B$15&amp;" · ",""))-3),"")</f>
        <v>O  Ontology · J  Judgment · S  Scale</v>
      </c>
      <c r="I22" s="26" t="str">
        <f>IF(COUNT(I12:I15)=4,LEFT(IF(I12=MIN(I12:I15),$B$12&amp;" · ","")&amp;IF(I13=MIN(I12:I15),$B$13&amp;" · ","")&amp;IF(I14=MIN(I12:I15),$B$14&amp;" · ","")&amp;IF(I15=MIN(I12:I15),$B$15&amp;" · ",""),LEN(IF(I12=MIN(I12:I15),$B$12&amp;" · ","")&amp;IF(I13=MIN(I12:I15),$B$13&amp;" · ","")&amp;IF(I14=MIN(I12:I15),$B$14&amp;" · ","")&amp;IF(I15=MIN(I12:I15),$B$15&amp;" · ",""))-3),"")</f>
        <v/>
      </c>
    </row>
    <row r="23" spans="2:9" ht="30" customHeight="1" x14ac:dyDescent="0.2">
      <c r="B23" s="22" t="s">
        <v>41</v>
      </c>
      <c r="C23" s="6" t="s">
        <v>42</v>
      </c>
      <c r="D23" s="6"/>
      <c r="E23" s="6"/>
      <c r="F23" s="5" t="str">
        <f>IF(COUNT(F12:G15)&lt;8,"",IF(MAX(K12:K15)=0,"No divergence",LEFT(IF(K12=MAX(K12:K15),$B$12&amp;" · ","")&amp;IF(K13=MAX(K12:K15),$B$13&amp;" · ","")&amp;IF(K14=MAX(K12:K15),$B$14&amp;" · ","")&amp;IF(K15=MAX(K12:K15),$B$15&amp;" · ",""),LEN(IF(K12=MAX(K12:K15),$B$12&amp;" · ","")&amp;IF(K13=MAX(K12:K15),$B$13&amp;" · ","")&amp;IF(K14=MAX(K12:K15),$B$14&amp;" · ","")&amp;IF(K15=MAX(K12:K15),$B$15&amp;" · ",""))-3)))</f>
        <v>S  Scale</v>
      </c>
      <c r="G23" s="5"/>
      <c r="H23" s="5"/>
      <c r="I23" s="5"/>
    </row>
    <row r="24" spans="2:9" ht="63.75" customHeight="1" x14ac:dyDescent="0.2">
      <c r="B24" s="4" t="s">
        <v>43</v>
      </c>
      <c r="C24" s="4"/>
      <c r="D24" s="4"/>
      <c r="E24" s="4"/>
      <c r="F24" s="4"/>
      <c r="G24" s="4"/>
      <c r="H24" s="4"/>
      <c r="I24" s="4"/>
    </row>
    <row r="26" spans="2:9" ht="18" x14ac:dyDescent="0.2">
      <c r="B26" s="15" t="s">
        <v>44</v>
      </c>
    </row>
    <row r="27" spans="2:9" x14ac:dyDescent="0.2">
      <c r="B27" s="16" t="s">
        <v>45</v>
      </c>
      <c r="C27" s="3" t="s">
        <v>37</v>
      </c>
      <c r="D27" s="3"/>
      <c r="E27" s="3"/>
      <c r="F27" s="3"/>
      <c r="G27" s="3"/>
      <c r="H27" s="3"/>
      <c r="I27" s="3"/>
    </row>
    <row r="28" spans="2:9" ht="30" customHeight="1" x14ac:dyDescent="0.2">
      <c r="B28" s="18" t="s">
        <v>46</v>
      </c>
      <c r="C28" s="2" t="s">
        <v>47</v>
      </c>
      <c r="D28" s="2"/>
      <c r="E28" s="2"/>
      <c r="F28" s="2"/>
      <c r="G28" s="2"/>
      <c r="H28" s="2"/>
      <c r="I28" s="2"/>
    </row>
    <row r="29" spans="2:9" ht="30" customHeight="1" x14ac:dyDescent="0.2">
      <c r="B29" s="18" t="s">
        <v>48</v>
      </c>
      <c r="C29" s="2" t="s">
        <v>49</v>
      </c>
      <c r="D29" s="2"/>
      <c r="E29" s="2"/>
      <c r="F29" s="2"/>
      <c r="G29" s="2"/>
      <c r="H29" s="2"/>
      <c r="I29" s="2"/>
    </row>
    <row r="30" spans="2:9" ht="30" customHeight="1" x14ac:dyDescent="0.2">
      <c r="B30" s="18" t="s">
        <v>50</v>
      </c>
      <c r="C30" s="2" t="s">
        <v>51</v>
      </c>
      <c r="D30" s="2"/>
      <c r="E30" s="2"/>
      <c r="F30" s="2"/>
      <c r="G30" s="2"/>
      <c r="H30" s="2"/>
      <c r="I30" s="2"/>
    </row>
    <row r="31" spans="2:9" ht="15" customHeight="1" x14ac:dyDescent="0.2">
      <c r="B31" s="7" t="s">
        <v>52</v>
      </c>
      <c r="C31" s="7"/>
      <c r="D31" s="7"/>
      <c r="E31" s="7"/>
      <c r="F31" s="7"/>
      <c r="G31" s="7"/>
      <c r="H31" s="7"/>
      <c r="I31" s="7"/>
    </row>
    <row r="33" spans="2:9" x14ac:dyDescent="0.2">
      <c r="B33" s="27" t="s">
        <v>53</v>
      </c>
    </row>
    <row r="34" spans="2:9" ht="39.75" customHeight="1" x14ac:dyDescent="0.2">
      <c r="B34" s="1" t="s">
        <v>59</v>
      </c>
      <c r="C34" s="1"/>
      <c r="D34" s="1"/>
      <c r="E34" s="1"/>
      <c r="F34" s="1"/>
      <c r="G34" s="1"/>
      <c r="H34" s="1"/>
      <c r="I34" s="1"/>
    </row>
    <row r="36" spans="2:9" x14ac:dyDescent="0.2">
      <c r="B36" s="28" t="s">
        <v>54</v>
      </c>
    </row>
  </sheetData>
  <mergeCells count="16">
    <mergeCell ref="B34:I34"/>
    <mergeCell ref="C27:I27"/>
    <mergeCell ref="C28:I28"/>
    <mergeCell ref="C29:I29"/>
    <mergeCell ref="C30:I30"/>
    <mergeCell ref="B31:I31"/>
    <mergeCell ref="C21:E21"/>
    <mergeCell ref="C22:E22"/>
    <mergeCell ref="C23:E23"/>
    <mergeCell ref="F23:I23"/>
    <mergeCell ref="B24:I24"/>
    <mergeCell ref="C8:E8"/>
    <mergeCell ref="H8:I8"/>
    <mergeCell ref="B16:I16"/>
    <mergeCell ref="C19:E19"/>
    <mergeCell ref="C20:E20"/>
  </mergeCells>
  <dataValidations count="1">
    <dataValidation type="whole" allowBlank="1" showErrorMessage="1" errorTitle="Level 0 to 5" error="Enter a whole number from 0 (absent) to 5 (self-correcting)." sqref="F12:I15" xr:uid="{00000000-0002-0000-0100-000000000000}">
      <formula1>0</formula1>
      <formula2>5</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ARI Worksheet</vt:lpstr>
      <vt:lpstr>Example</vt:lpstr>
      <vt:lpstr>'ARI Worksheet'!Print_Area</vt:lpstr>
      <vt:lpstr>Example!Print_Area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2026-01-01T00:00:00Z</dcterms:created>
  <dcterms:modified xsi:type="dcterms:W3CDTF">2026-01-01T00:00:00Z</dcterms:modified>
  <cp:category/>
  <dc:language>en-US</dc:language>
</cp:coreProperties>
</file>